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Speech Log" sheetId="2" state="visible" r:id="rId2"/>
    <sheet xmlns:r="http://schemas.openxmlformats.org/officeDocument/2006/relationships" name="Rate Path" sheetId="3" state="visible" r:id="rId3"/>
    <sheet xmlns:r="http://schemas.openxmlformats.org/officeDocument/2006/relationships" name="Opinions Attributio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i val="1"/>
      <color rgb="FF606A7E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sz val="9.5"/>
    </font>
    <font>
      <name val="Arial"/>
      <b val="1"/>
      <color rgb="001F3A5F"/>
      <sz val="13"/>
    </font>
    <font>
      <name val="Arial"/>
      <i val="1"/>
      <color rgb="00606A7E"/>
      <sz val="9"/>
    </font>
    <font>
      <name val="Arial"/>
      <b val="1"/>
      <color rgb="00FFFFFF"/>
      <sz val="10"/>
    </font>
    <font>
      <name val="Arial"/>
      <sz val="9.5"/>
    </font>
    <font>
      <name val="Arial"/>
      <color rgb="00606A7E"/>
      <sz val="9"/>
    </font>
  </fonts>
  <fills count="12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7C4B4"/>
        <bgColor rgb="FFD9D9D9"/>
      </patternFill>
    </fill>
    <fill>
      <patternFill patternType="solid">
        <fgColor rgb="FFF0876F"/>
        <bgColor rgb="FFFF99CC"/>
      </patternFill>
    </fill>
    <fill>
      <patternFill patternType="solid">
        <fgColor rgb="FF7FB3E8"/>
        <bgColor rgb="FF9999FF"/>
      </patternFill>
    </fill>
    <fill>
      <patternFill patternType="solid">
        <fgColor rgb="FFE3E7EE"/>
        <bgColor rgb="FFEDF0F5"/>
      </patternFill>
    </fill>
    <fill>
      <patternFill patternType="solid">
        <fgColor rgb="FFE2564A"/>
        <bgColor rgb="FFF0876F"/>
      </patternFill>
    </fill>
    <fill>
      <patternFill patternType="solid">
        <fgColor rgb="FF4A90D9"/>
        <bgColor rgb="FF4F81BD"/>
      </patternFill>
    </fill>
    <fill>
      <patternFill patternType="solid">
        <fgColor rgb="FFC5DCF2"/>
        <bgColor rgb="FFC8CFDA"/>
      </patternFill>
    </fill>
    <fill>
      <patternFill patternType="solid">
        <fgColor rgb="FFEDF0F5"/>
        <bgColor rgb="FFE3E7EE"/>
      </patternFill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left style="thin">
        <color rgb="FFC8CFDA"/>
      </left>
      <right style="thin">
        <color rgb="FFC8CFDA"/>
      </right>
      <top style="thin">
        <color rgb="FFC8CFDA"/>
      </top>
      <bottom style="thin">
        <color rgb="FFC8CFDA"/>
      </bottom>
      <diagonal/>
    </border>
    <border>
      <left style="thin">
        <color rgb="00C8CFDA"/>
      </left>
      <right style="thin">
        <color rgb="00C8CFDA"/>
      </right>
      <top style="thin">
        <color rgb="00C8CFDA"/>
      </top>
      <bottom style="thin">
        <color rgb="00C8CFD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8" fillId="5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bottom"/>
    </xf>
    <xf numFmtId="0" fontId="8" fillId="8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center"/>
    </xf>
    <xf numFmtId="0" fontId="13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8" fillId="5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bottom"/>
    </xf>
    <xf numFmtId="0" fontId="8" fillId="8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center"/>
    </xf>
    <xf numFmtId="0" fontId="13" fillId="0" borderId="1" applyAlignment="1" pivotButton="0" quotePrefix="0" xfId="0">
      <alignment horizontal="general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11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DF0F5"/>
      <rgbColor rgb="FFE3E7EE"/>
      <rgbColor rgb="FF660066"/>
      <rgbColor rgb="FFF0876F"/>
      <rgbColor rgb="FF0066CC"/>
      <rgbColor rgb="FFC8C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DCF2"/>
      <rgbColor rgb="FFCCFFCC"/>
      <rgbColor rgb="FFFFFF99"/>
      <rgbColor rgb="FF7FB3E8"/>
      <rgbColor rgb="FFFF99CC"/>
      <rgbColor rgb="FFCC99FF"/>
      <rgbColor rgb="FFF7C4B4"/>
      <rgbColor rgb="FF4F81BD"/>
      <rgbColor rgb="FF33CCCC"/>
      <rgbColor rgb="FF99CC00"/>
      <rgbColor rgb="FFFFCC00"/>
      <rgbColor rgb="FFFF9900"/>
      <rgbColor rgb="FFE2564A"/>
      <rgbColor rgb="FF606A7E"/>
      <rgbColor rgb="FF969696"/>
      <rgbColor rgb="FF1F3A5F"/>
      <rgbColor rgb="FF4A90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Latest observed tone (−2 dove … +2 hawk)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Scorecard!G4</f>
              <strCache>
                <ptCount val="1"/>
                <pt idx="0">
                  <v>Latest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Scorecard!$A$5:$A$16</f>
              <strCache>
                <ptCount val="12"/>
                <pt idx="0">
                  <v>UEDA Kazuo</v>
                </pt>
                <pt idx="1">
                  <v>HIMINO Ryozo</v>
                </pt>
                <pt idx="2">
                  <v>UCHIDA Shinichi</v>
                </pt>
                <pt idx="3">
                  <v>TAMURA Naoki</v>
                </pt>
                <pt idx="4">
                  <v>TAKATA Hajime</v>
                </pt>
                <pt idx="5">
                  <v>NAKAGAWA Junko</v>
                </pt>
                <pt idx="6">
                  <v>NOGUCHI Asahi</v>
                </pt>
                <pt idx="7">
                  <v>KOEDA Junko</v>
                </pt>
                <pt idx="8">
                  <v>MASU Kazuyuki</v>
                </pt>
                <pt idx="9">
                  <v>ASADA Toichiro</v>
                </pt>
                <pt idx="10">
                  <v>NAKAMURA Toyoaki</v>
                </pt>
                <pt idx="11">
                  <v>ADACHI Seiji</v>
                </pt>
              </strCache>
            </strRef>
          </cat>
          <val>
            <numRef>
              <f>Scorecard!$G$5:$G$16</f>
              <numCache>
                <formatCode>General</formatCode>
                <ptCount val="12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2</v>
                </pt>
                <pt idx="4">
                  <v>2</v>
                </pt>
                <pt idx="5">
                  <v>0.5</v>
                </pt>
                <pt idx="6">
                  <v>-0.5</v>
                </pt>
                <pt idx="7">
                  <v>1</v>
                </pt>
                <pt idx="8">
                  <v>0.5</v>
                </pt>
                <pt idx="9">
                  <v>-1.5</v>
                </pt>
                <pt idx="10">
                  <v>-2</v>
                </pt>
                <pt idx="11">
                  <v>-1.5</v>
                </pt>
              </numCache>
            </numRef>
          </val>
        </ser>
        <gapWidth val="150"/>
        <overlap val="0"/>
        <axId val="19066302"/>
        <axId val="52814819"/>
      </barChart>
      <catAx>
        <axId val="1906630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2814819"/>
        <crosses val="autoZero"/>
        <auto val="1"/>
        <lblAlgn val="ctr"/>
        <lblOffset val="100"/>
        <noMultiLvlLbl val="0"/>
      </catAx>
      <valAx>
        <axId val="528148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906630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20</row>
      <rowOff>0</rowOff>
    </from>
    <to>
      <col>6</col>
      <colOff>120960</colOff>
      <row>37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21" min="1" max="1"/>
    <col width="26" customWidth="1" style="21" min="2" max="2"/>
    <col width="9" customWidth="1" style="21" min="3" max="6"/>
    <col width="8.5" customWidth="1" style="21" min="7" max="7"/>
    <col width="10" customWidth="1" style="21" min="8" max="8"/>
    <col width="62" customWidth="1" style="21" min="9" max="9"/>
  </cols>
  <sheetData>
    <row r="1" ht="17.35" customHeight="1" s="22">
      <c r="A1" s="23" t="inlineStr">
        <is>
          <t>BOJ Hawk–Dove Tone Scorecard (Jul 2024 – Jun 2026)</t>
        </is>
      </c>
    </row>
    <row r="2" ht="15" customHeight="1" s="22">
      <c r="A2" s="24" t="inlineStr">
        <is>
          <t>Scale: −2 strongly dovish … +2 strongly hawkish. Qualitative scores per half-year from official BOJ speeches, MPM proposals and dissents. Blank = not on board / no significant communication.</t>
        </is>
      </c>
    </row>
    <row r="4" ht="15" customHeight="1" s="22">
      <c r="A4" s="25" t="inlineStr">
        <is>
          <t>Speaker</t>
        </is>
      </c>
      <c r="B4" s="25" t="inlineStr">
        <is>
          <t>Role</t>
        </is>
      </c>
      <c r="C4" s="25" t="inlineStr">
        <is>
          <t>H2 2024</t>
        </is>
      </c>
      <c r="D4" s="25" t="inlineStr">
        <is>
          <t>H1 2025</t>
        </is>
      </c>
      <c r="E4" s="25" t="inlineStr">
        <is>
          <t>H2 2025</t>
        </is>
      </c>
      <c r="F4" s="25" t="inlineStr">
        <is>
          <t>H1 2026</t>
        </is>
      </c>
      <c r="G4" s="25" t="inlineStr">
        <is>
          <t>Latest</t>
        </is>
      </c>
      <c r="H4" s="25" t="inlineStr">
        <is>
          <t>Avg (obs.)</t>
        </is>
      </c>
      <c r="I4" s="25" t="inlineStr">
        <is>
          <t>Trajectory</t>
        </is>
      </c>
    </row>
    <row r="5" ht="30" customHeight="1" s="22">
      <c r="A5" s="26" t="inlineStr">
        <is>
          <t>UEDA Kazuo</t>
        </is>
      </c>
      <c r="B5" s="27" t="inlineStr">
        <is>
          <t>Governor</t>
        </is>
      </c>
      <c r="C5" s="28" t="n">
        <v>0.5</v>
      </c>
      <c r="D5" s="28" t="n">
        <v>0.5</v>
      </c>
      <c r="E5" s="29" t="n">
        <v>1</v>
      </c>
      <c r="F5" s="29" t="n">
        <v>1</v>
      </c>
      <c r="G5" s="30">
        <f>IF(COUNT(C5:F5)=0,"",LOOKUP(2,1/(C5:F5&lt;&gt;""),C5:F5))</f>
        <v/>
      </c>
      <c r="H5" s="31">
        <f>IF(COUNT(C5:F5)=0,"",ROUND(AVERAGE(C5:F5),2))</f>
        <v/>
      </c>
      <c r="I5" s="32" t="inlineStr">
        <is>
          <t>Patient → confident normalizer; Dec '25 &amp; Jun '26 hikes delivered on his guidance</t>
        </is>
      </c>
    </row>
    <row r="6" ht="30" customHeight="1" s="22">
      <c r="A6" s="26" t="inlineStr">
        <is>
          <t>HIMINO Ryozo</t>
        </is>
      </c>
      <c r="B6" s="27" t="inlineStr">
        <is>
          <t>Deputy Governor</t>
        </is>
      </c>
      <c r="C6" s="28" t="n">
        <v>0.5</v>
      </c>
      <c r="D6" s="29" t="n">
        <v>1</v>
      </c>
      <c r="E6" s="28" t="n">
        <v>0.5</v>
      </c>
      <c r="F6" s="29" t="n">
        <v>1</v>
      </c>
      <c r="G6" s="30">
        <f>IF(COUNT(C6:F6)=0,"",LOOKUP(2,1/(C6:F6&lt;&gt;""),C6:F6))</f>
        <v/>
      </c>
      <c r="H6" s="31">
        <f>IF(COUNT(C6:F6)=0,"",ROUND(AVERAGE(C6:F6),2))</f>
        <v/>
      </c>
      <c r="I6" s="32" t="inlineStr">
        <is>
          <t>Steady gradualist; Mar '26: shift 'to a more neutral stance through moderate hikes'</t>
        </is>
      </c>
    </row>
    <row r="7" ht="30" customHeight="1" s="22">
      <c r="A7" s="26" t="inlineStr">
        <is>
          <t>UCHIDA Shinichi</t>
        </is>
      </c>
      <c r="B7" s="27" t="inlineStr">
        <is>
          <t>Deputy Governor</t>
        </is>
      </c>
      <c r="C7" s="33" t="n">
        <v>-1</v>
      </c>
      <c r="D7" s="34" t="n">
        <v>0</v>
      </c>
      <c r="E7" s="34" t="n">
        <v>0</v>
      </c>
      <c r="F7" s="31" t="n"/>
      <c r="G7" s="30">
        <f>IF(COUNT(C7:F7)=0,"",LOOKUP(2,1/(C7:F7&lt;&gt;""),C7:F7))</f>
        <v/>
      </c>
      <c r="H7" s="31">
        <f>IF(COUNT(C7:F7)=0,"",ROUND(AVERAGE(C7:F7),2))</f>
        <v/>
      </c>
      <c r="I7" s="32" t="inlineStr">
        <is>
          <t>Aug '24 dovish market-calmer → on-consensus; fronted Jun '26 presser</t>
        </is>
      </c>
    </row>
    <row r="8" ht="30" customHeight="1" s="22">
      <c r="A8" s="26" t="inlineStr">
        <is>
          <t>TAMURA Naoki</t>
        </is>
      </c>
      <c r="B8" s="27" t="inlineStr">
        <is>
          <t>Board Member</t>
        </is>
      </c>
      <c r="C8" s="35" t="n">
        <v>2</v>
      </c>
      <c r="D8" s="35" t="n">
        <v>2</v>
      </c>
      <c r="E8" s="35" t="n">
        <v>1.5</v>
      </c>
      <c r="F8" s="35" t="n">
        <v>2</v>
      </c>
      <c r="G8" s="30">
        <f>IF(COUNT(C8:F8)=0,"",LOOKUP(2,1/(C8:F8&lt;&gt;""),C8:F8))</f>
        <v/>
      </c>
      <c r="H8" s="31">
        <f>IF(COUNT(C8:F8)=0,"",ROUND(AVERAGE(C8:F8),2))</f>
        <v/>
      </c>
      <c r="I8" s="32" t="inlineStr">
        <is>
          <t>Most hawkish; Feb '26: target achievable 'as early as this spring'; neutral ≥1%</t>
        </is>
      </c>
    </row>
    <row r="9" ht="30" customHeight="1" s="22">
      <c r="A9" s="26" t="inlineStr">
        <is>
          <t>TAKATA Hajime</t>
        </is>
      </c>
      <c r="B9" s="27" t="inlineStr">
        <is>
          <t>Board Member</t>
        </is>
      </c>
      <c r="C9" s="35" t="n">
        <v>1.5</v>
      </c>
      <c r="D9" s="35" t="n">
        <v>1.5</v>
      </c>
      <c r="E9" s="35" t="n">
        <v>1.5</v>
      </c>
      <c r="F9" s="35" t="n">
        <v>2</v>
      </c>
      <c r="G9" s="30">
        <f>IF(COUNT(C9:F9)=0,"",LOOKUP(2,1/(C9:F9&lt;&gt;""),C9:F9))</f>
        <v/>
      </c>
      <c r="H9" s="31">
        <f>IF(COUNT(C9:F9)=0,"",ROUND(AVERAGE(C9:F9),2))</f>
        <v/>
      </c>
      <c r="I9" s="32" t="inlineStr">
        <is>
          <t>'Gear shift' hawk; proposed 1.0% at Jan '26 MPM</t>
        </is>
      </c>
    </row>
    <row r="10" ht="30" customHeight="1" s="22">
      <c r="A10" s="26" t="inlineStr">
        <is>
          <t>NAKAGAWA Junko</t>
        </is>
      </c>
      <c r="B10" s="27" t="inlineStr">
        <is>
          <t>Board Member (to Jun '26)</t>
        </is>
      </c>
      <c r="C10" s="34" t="n">
        <v>0</v>
      </c>
      <c r="D10" s="34" t="n">
        <v>0</v>
      </c>
      <c r="E10" s="34" t="n">
        <v>0</v>
      </c>
      <c r="F10" s="28" t="n">
        <v>0.5</v>
      </c>
      <c r="G10" s="30">
        <f>IF(COUNT(C10:F10)=0,"",LOOKUP(2,1/(C10:F10&lt;&gt;""),C10:F10))</f>
        <v/>
      </c>
      <c r="H10" s="31">
        <f>IF(COUNT(C10:F10)=0,"",ROUND(AVERAGE(C10:F10),2))</f>
        <v/>
      </c>
      <c r="I10" s="32" t="inlineStr">
        <is>
          <t>Centrist; reportedly called for hike in Apr '26; succeeded by Sato</t>
        </is>
      </c>
    </row>
    <row r="11" ht="30" customHeight="1" s="22">
      <c r="A11" s="26" t="inlineStr">
        <is>
          <t>NOGUCHI Asahi</t>
        </is>
      </c>
      <c r="B11" s="27" t="inlineStr">
        <is>
          <t>Board Member</t>
        </is>
      </c>
      <c r="C11" s="36" t="n">
        <v>-1.5</v>
      </c>
      <c r="D11" s="33" t="n">
        <v>-1</v>
      </c>
      <c r="E11" s="37" t="n">
        <v>-0.5</v>
      </c>
      <c r="F11" s="31" t="n"/>
      <c r="G11" s="30">
        <f>IF(COUNT(C11:F11)=0,"",LOOKUP(2,1/(C11:F11&lt;&gt;""),C11:F11))</f>
        <v/>
      </c>
      <c r="H11" s="31">
        <f>IF(COUNT(C11:F11)=0,"",ROUND(AVERAGE(C11:F11),2))</f>
        <v/>
      </c>
      <c r="I11" s="32" t="inlineStr">
        <is>
          <t>Reflationist dove → accepts 'measured, step-by-step' hikes; warns 'too slow' is also a risk</t>
        </is>
      </c>
    </row>
    <row r="12" ht="30" customHeight="1" s="22">
      <c r="A12" s="26" t="inlineStr">
        <is>
          <t>KOEDA Junko</t>
        </is>
      </c>
      <c r="B12" s="27" t="inlineStr">
        <is>
          <t>Board Member (from Apr '25)</t>
        </is>
      </c>
      <c r="C12" s="31" t="n"/>
      <c r="D12" s="31" t="n"/>
      <c r="E12" s="29" t="n">
        <v>1</v>
      </c>
      <c r="F12" s="29" t="n">
        <v>1</v>
      </c>
      <c r="G12" s="30">
        <f>IF(COUNT(C12:F12)=0,"",LOOKUP(2,1/(C12:F12&lt;&gt;""),C12:F12))</f>
        <v/>
      </c>
      <c r="H12" s="31">
        <f>IF(COUNT(C12:F12)=0,"",ROUND(AVERAGE(C12:F12),2))</f>
        <v/>
      </c>
      <c r="I12" s="32" t="inlineStr">
        <is>
          <t>Replaced dove Adachi; 'underlying inflation is about 2%'; pro-normalization</t>
        </is>
      </c>
    </row>
    <row r="13" ht="30" customHeight="1" s="22">
      <c r="A13" s="26" t="inlineStr">
        <is>
          <t>MASU Kazuyuki</t>
        </is>
      </c>
      <c r="B13" s="27" t="inlineStr">
        <is>
          <t>Board Member (from mid-'25)</t>
        </is>
      </c>
      <c r="C13" s="31" t="n"/>
      <c r="D13" s="31" t="n"/>
      <c r="E13" s="31" t="n"/>
      <c r="F13" s="28" t="n">
        <v>0.5</v>
      </c>
      <c r="G13" s="30">
        <f>IF(COUNT(C13:F13)=0,"",LOOKUP(2,1/(C13:F13&lt;&gt;""),C13:F13))</f>
        <v/>
      </c>
      <c r="H13" s="31">
        <f>IF(COUNT(C13:F13)=0,"",ROUND(AVERAGE(C13:F13),2))</f>
        <v/>
      </c>
      <c r="I13" s="32" t="inlineStr">
        <is>
          <t>Replaced dove Nakamura; further hikes needed 'to complete normalization', but cautious</t>
        </is>
      </c>
    </row>
    <row r="14" ht="30" customHeight="1" s="22">
      <c r="A14" s="26" t="inlineStr">
        <is>
          <t>ASADA Toichiro</t>
        </is>
      </c>
      <c r="B14" s="27" t="inlineStr">
        <is>
          <t>Board Member (2026, Takaichi pick)</t>
        </is>
      </c>
      <c r="C14" s="31" t="n"/>
      <c r="D14" s="31" t="n"/>
      <c r="E14" s="31" t="n"/>
      <c r="F14" s="36" t="n">
        <v>-1.5</v>
      </c>
      <c r="G14" s="30">
        <f>IF(COUNT(C14:F14)=0,"",LOOKUP(2,1/(C14:F14&lt;&gt;""),C14:F14))</f>
        <v/>
      </c>
      <c r="H14" s="31">
        <f>IF(COUNT(C14:F14)=0,"",ROUND(AVERAGE(C14:F14),2))</f>
        <v/>
      </c>
      <c r="I14" s="32" t="inlineStr">
        <is>
          <t>Sole dissent (hold) vs Jun '26 hike at his 2nd meeting; new dovish pole</t>
        </is>
      </c>
    </row>
    <row r="15" ht="30" customHeight="1" s="22">
      <c r="A15" s="26" t="inlineStr">
        <is>
          <t>NAKAMURA Toyoaki</t>
        </is>
      </c>
      <c r="B15" s="27" t="inlineStr">
        <is>
          <t>Board Member (to Jun '25)</t>
        </is>
      </c>
      <c r="C15" s="36" t="n">
        <v>-2</v>
      </c>
      <c r="D15" s="36" t="n">
        <v>-2</v>
      </c>
      <c r="E15" s="31" t="n"/>
      <c r="F15" s="31" t="n"/>
      <c r="G15" s="30">
        <f>IF(COUNT(C15:F15)=0,"",LOOKUP(2,1/(C15:F15&lt;&gt;""),C15:F15))</f>
        <v/>
      </c>
      <c r="H15" s="31">
        <f>IF(COUNT(C15:F15)=0,"",ROUND(AVERAGE(C15:F15),2))</f>
        <v/>
      </c>
      <c r="I15" s="32" t="inlineStr">
        <is>
          <t>Board's most dovish; departed — seat turned hawkish</t>
        </is>
      </c>
    </row>
    <row r="16" ht="30" customHeight="1" s="22">
      <c r="A16" s="26" t="inlineStr">
        <is>
          <t>ADACHI Seiji</t>
        </is>
      </c>
      <c r="B16" s="27" t="inlineStr">
        <is>
          <t>Board Member (to Mar '25)</t>
        </is>
      </c>
      <c r="C16" s="36" t="n">
        <v>-1.5</v>
      </c>
      <c r="D16" s="31" t="n"/>
      <c r="E16" s="31" t="n"/>
      <c r="F16" s="31" t="n"/>
      <c r="G16" s="30">
        <f>IF(COUNT(C16:F16)=0,"",LOOKUP(2,1/(C16:F16&lt;&gt;""),C16:F16))</f>
        <v/>
      </c>
      <c r="H16" s="31">
        <f>IF(COUNT(C16:F16)=0,"",ROUND(AVERAGE(C16:F16),2))</f>
        <v/>
      </c>
      <c r="I16" s="32" t="inlineStr">
        <is>
          <t>Dove; departed — seat turned hawkish</t>
        </is>
      </c>
    </row>
    <row r="18" ht="15" customHeight="1" s="22">
      <c r="A18" s="38" t="inlineStr">
        <is>
          <t>Board average (simple, observed scores)</t>
        </is>
      </c>
      <c r="C18" s="39">
        <f>ROUND(AVERAGE(C5:C16),2)</f>
        <v/>
      </c>
      <c r="D18" s="39">
        <f>ROUND(AVERAGE(D5:D16),2)</f>
        <v/>
      </c>
      <c r="E18" s="39">
        <f>ROUND(AVERAGE(E5:E16),2)</f>
        <v/>
      </c>
      <c r="F18" s="39">
        <f>ROUND(AVERAGE(F5:F16),2)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21" min="1" max="2"/>
    <col width="48" customWidth="1" style="21" min="3" max="3"/>
    <col width="44" customWidth="1" style="21" min="4" max="4"/>
    <col width="46" customWidth="1" style="21" min="5" max="5"/>
  </cols>
  <sheetData>
    <row r="1" ht="16.15" customHeight="1" s="22">
      <c r="A1" s="40" t="inlineStr">
        <is>
          <t>Policy-relevant speeches reviewed (BOJ website)</t>
        </is>
      </c>
    </row>
    <row r="3" ht="15" customHeight="1" s="22">
      <c r="A3" s="25" t="inlineStr">
        <is>
          <t>Date</t>
        </is>
      </c>
      <c r="B3" s="25" t="inlineStr">
        <is>
          <t>Speaker</t>
        </is>
      </c>
      <c r="C3" s="25" t="inlineStr">
        <is>
          <t>Venue / Title</t>
        </is>
      </c>
      <c r="D3" s="25" t="inlineStr">
        <is>
          <t>Tone signal</t>
        </is>
      </c>
      <c r="E3" s="25" t="inlineStr">
        <is>
          <t>URL</t>
        </is>
      </c>
    </row>
    <row r="4" ht="15" customHeight="1" s="22">
      <c r="A4" s="41" t="inlineStr">
        <is>
          <t>2024-08-07</t>
        </is>
      </c>
      <c r="B4" s="41" t="inlineStr">
        <is>
          <t>Uchida</t>
        </is>
      </c>
      <c r="C4" s="42" t="inlineStr">
        <is>
          <t>Hakodate — Japan's Economy and Monetary Policy</t>
        </is>
      </c>
      <c r="D4" s="42" t="inlineStr">
        <is>
          <t>Dovish: no hikes amid market instability (post-crash)</t>
        </is>
      </c>
      <c r="E4" s="41" t="inlineStr">
        <is>
          <t>boj.or.jp/en/about/press/koen_2024/ko240807a.htm</t>
        </is>
      </c>
    </row>
    <row r="5" ht="23.85" customHeight="1" s="22">
      <c r="A5" s="41" t="inlineStr">
        <is>
          <t>2024-09-12</t>
        </is>
      </c>
      <c r="B5" s="41" t="inlineStr">
        <is>
          <t>Tamura</t>
        </is>
      </c>
      <c r="C5" s="42" t="inlineStr">
        <is>
          <t>Okayama — Economic Activity, Prices, and Monetary Policy</t>
        </is>
      </c>
      <c r="D5" s="42" t="inlineStr">
        <is>
          <t>Hawkish: neutral at least ~1%, raise in stages</t>
        </is>
      </c>
      <c r="E5" s="41" t="inlineStr">
        <is>
          <t>boj.or.jp/en/about/press/koen_2024/ko240919a.htm</t>
        </is>
      </c>
    </row>
    <row r="6" ht="23.85" customHeight="1" s="22">
      <c r="A6" s="41" t="inlineStr">
        <is>
          <t>2024-12-05</t>
        </is>
      </c>
      <c r="B6" s="41" t="inlineStr">
        <is>
          <t>Nakamura</t>
        </is>
      </c>
      <c r="C6" s="42" t="inlineStr">
        <is>
          <t>Hiroshima — Economic Activity, Prices, and Monetary Policy</t>
        </is>
      </c>
      <c r="D6" s="42" t="inlineStr">
        <is>
          <t>Dovish: cautious on further tightening</t>
        </is>
      </c>
      <c r="E6" s="41" t="inlineStr">
        <is>
          <t>boj.or.jp/en/about/press/koen_2024/ko241212a.htm</t>
        </is>
      </c>
    </row>
    <row r="7" ht="15" customHeight="1" s="22">
      <c r="A7" s="41" t="inlineStr">
        <is>
          <t>2025-01-30</t>
        </is>
      </c>
      <c r="B7" s="41" t="inlineStr">
        <is>
          <t>Himino</t>
        </is>
      </c>
      <c r="C7" s="42" t="inlineStr">
        <is>
          <t>Hitotsubashi — An Economy with Positive Interest Rates</t>
        </is>
      </c>
      <c r="D7" s="42" t="inlineStr">
        <is>
          <t>Hawk-leaning: groundwork for Jan '25 hike</t>
        </is>
      </c>
      <c r="E7" s="41" t="inlineStr">
        <is>
          <t>boj.or.jp/en/about/press/koen_2025/ko250221a.htm</t>
        </is>
      </c>
    </row>
    <row r="8" ht="15" customHeight="1" s="22">
      <c r="A8" s="41" t="inlineStr">
        <is>
          <t>2025-07-23</t>
        </is>
      </c>
      <c r="B8" s="41" t="inlineStr">
        <is>
          <t>Uchida</t>
        </is>
      </c>
      <c r="C8" s="42" t="inlineStr">
        <is>
          <t>Kochi — Japan's Economy and Monetary Policy</t>
        </is>
      </c>
      <c r="D8" s="42" t="inlineStr">
        <is>
          <t>Neutral: hold at 0.5%, conditional hike guidance</t>
        </is>
      </c>
      <c r="E8" s="41" t="inlineStr">
        <is>
          <t>boj.or.jp/en/about/press/koen_2025/ko250723a.htm</t>
        </is>
      </c>
    </row>
    <row r="9" ht="23.85" customHeight="1" s="22">
      <c r="A9" s="41" t="inlineStr">
        <is>
          <t>2025-08-23</t>
        </is>
      </c>
      <c r="B9" s="41" t="inlineStr">
        <is>
          <t>Ueda</t>
        </is>
      </c>
      <c r="C9" s="42" t="inlineStr">
        <is>
          <t>Jackson Hole — Japan's Labor Market under Demographic Decline</t>
        </is>
      </c>
      <c r="D9" s="42" t="inlineStr">
        <is>
          <t>Hawkish undertone: structural labor tightness</t>
        </is>
      </c>
      <c r="E9" s="41" t="inlineStr">
        <is>
          <t>boj.or.jp/en/about/press/koen_2025/ko250824a.htm</t>
        </is>
      </c>
    </row>
    <row r="10" ht="23.85" customHeight="1" s="22">
      <c r="A10" s="41" t="inlineStr">
        <is>
          <t>2025-11-10</t>
        </is>
      </c>
      <c r="B10" s="41" t="inlineStr">
        <is>
          <t>Nakagawa</t>
        </is>
      </c>
      <c r="C10" s="42" t="inlineStr">
        <is>
          <t>Okayama Club — Economic Activity, Prices, and Monetary Policy</t>
        </is>
      </c>
      <c r="D10" s="42" t="inlineStr">
        <is>
          <t>Neutral: on-consensus guidance</t>
        </is>
      </c>
      <c r="E10" s="41" t="inlineStr">
        <is>
          <t>boj.or.jp/en/about/press/koen_2025/ko251110a.htm</t>
        </is>
      </c>
    </row>
    <row r="11" ht="15" customHeight="1" s="22">
      <c r="A11" s="41" t="inlineStr">
        <is>
          <t>2025-11-20</t>
        </is>
      </c>
      <c r="B11" s="41" t="inlineStr">
        <is>
          <t>Koeda</t>
        </is>
      </c>
      <c r="C11" s="42" t="inlineStr">
        <is>
          <t>Niigata — Economic Activity, Prices, and Monetary Policy</t>
        </is>
      </c>
      <c r="D11" s="42" t="inlineStr">
        <is>
          <t>Hawk-leaning: underlying inflation ~2%, normalize</t>
        </is>
      </c>
      <c r="E11" s="41" t="inlineStr">
        <is>
          <t>boj.or.jp/en/about/press/koen_2025/ko251120a.htm</t>
        </is>
      </c>
    </row>
    <row r="12" ht="15" customHeight="1" s="22">
      <c r="A12" s="41" t="inlineStr">
        <is>
          <t>2025-11-27</t>
        </is>
      </c>
      <c r="B12" s="41" t="inlineStr">
        <is>
          <t>Noguchi</t>
        </is>
      </c>
      <c r="C12" s="42" t="inlineStr">
        <is>
          <t>Oita — Economic Activity, Prices, and Monetary Policy</t>
        </is>
      </c>
      <c r="D12" s="42" t="inlineStr">
        <is>
          <t>Softened dove: step-by-step hikes; 'too slow' risky</t>
        </is>
      </c>
      <c r="E12" s="41" t="inlineStr">
        <is>
          <t>boj.or.jp/en/about/press/koen_2025/ko251127a.htm</t>
        </is>
      </c>
    </row>
    <row r="13" ht="23.85" customHeight="1" s="22">
      <c r="A13" s="41" t="inlineStr">
        <is>
          <t>2025-12-25</t>
        </is>
      </c>
      <c r="B13" s="41" t="inlineStr">
        <is>
          <t>Ueda</t>
        </is>
      </c>
      <c r="C13" s="42" t="inlineStr">
        <is>
          <t>Keidanren — Toward Achievement of the Price Stability Target</t>
        </is>
      </c>
      <c r="D13" s="42" t="inlineStr">
        <is>
          <t>Hawkish: justifies Dec hike, more to come</t>
        </is>
      </c>
      <c r="E13" s="41" t="inlineStr">
        <is>
          <t>boj.or.jp/en/about/press/koen_2025/ko251225a.htm</t>
        </is>
      </c>
    </row>
    <row r="14" ht="15" customHeight="1" s="22">
      <c r="A14" s="41" t="inlineStr">
        <is>
          <t>2026-02-06</t>
        </is>
      </c>
      <c r="B14" s="41" t="inlineStr">
        <is>
          <t>Masu</t>
        </is>
      </c>
      <c r="C14" s="42" t="inlineStr">
        <is>
          <t>Ehime — Economic Activity, Prices, and Monetary Policy</t>
        </is>
      </c>
      <c r="D14" s="42" t="inlineStr">
        <is>
          <t>Cautious hawk: complete normalization, carefully</t>
        </is>
      </c>
      <c r="E14" s="41" t="inlineStr">
        <is>
          <t>boj.or.jp/en/about/press/koen_2026/ko260206a.htm</t>
        </is>
      </c>
    </row>
    <row r="15" ht="23.85" customHeight="1" s="22">
      <c r="A15" s="41" t="inlineStr">
        <is>
          <t>2026-02-13</t>
        </is>
      </c>
      <c r="B15" s="41" t="inlineStr">
        <is>
          <t>Tamura</t>
        </is>
      </c>
      <c r="C15" s="42" t="inlineStr">
        <is>
          <t>Kanagawa — Economic Activity, Prices, and Monetary Policy</t>
        </is>
      </c>
      <c r="D15" s="42" t="inlineStr">
        <is>
          <t>Strong hawk: target achieved by spring; hikes' impact 'extremely limited'</t>
        </is>
      </c>
      <c r="E15" s="41" t="inlineStr">
        <is>
          <t>boj.or.jp/en/about/press/koen_2026/ko260213a.htm</t>
        </is>
      </c>
    </row>
    <row r="16" ht="23.85" customHeight="1" s="22">
      <c r="A16" s="41" t="inlineStr">
        <is>
          <t>2026-02-26</t>
        </is>
      </c>
      <c r="B16" s="41" t="inlineStr">
        <is>
          <t>Takata</t>
        </is>
      </c>
      <c r="C16" s="42" t="inlineStr">
        <is>
          <t>Kyoto — Economic Activity, Prices, and Monetary Policy</t>
        </is>
      </c>
      <c r="D16" s="42" t="inlineStr">
        <is>
          <t>Strong hawk: proposed 1.0% at Jan MPM; 'further gear shift'</t>
        </is>
      </c>
      <c r="E16" s="41" t="inlineStr">
        <is>
          <t>boj.or.jp/en/about/press/koen_2026/ko260226a.htm</t>
        </is>
      </c>
    </row>
    <row r="17" ht="15" customHeight="1" s="22">
      <c r="A17" s="41" t="inlineStr">
        <is>
          <t>2026-03-02</t>
        </is>
      </c>
      <c r="B17" s="41" t="inlineStr">
        <is>
          <t>Himino</t>
        </is>
      </c>
      <c r="C17" s="42" t="inlineStr">
        <is>
          <t>Wakayama — Japan's Economy and Monetary Policy</t>
        </is>
      </c>
      <c r="D17" s="42" t="inlineStr">
        <is>
          <t>Hawk-leaning: shift gradually to neutral stance</t>
        </is>
      </c>
      <c r="E17" s="41" t="inlineStr">
        <is>
          <t>boj.or.jp/en/about/press/koen_2026/ko260302a.htm</t>
        </is>
      </c>
    </row>
    <row r="18" ht="23.85" customHeight="1" s="22">
      <c r="A18" s="41" t="inlineStr">
        <is>
          <t>2026-05-14</t>
        </is>
      </c>
      <c r="B18" s="41" t="inlineStr">
        <is>
          <t>Masu</t>
        </is>
      </c>
      <c r="C18" s="42" t="inlineStr">
        <is>
          <t>Kagoshima — Economic Activity, Prices, and Monetary Policy</t>
        </is>
      </c>
      <c r="D18" s="42" t="inlineStr">
        <is>
          <t>(PDF only) cautious normalization</t>
        </is>
      </c>
      <c r="E18" s="41" t="inlineStr">
        <is>
          <t>boj.or.jp/en/about/press/koen_2026/ko260514a.htm</t>
        </is>
      </c>
    </row>
    <row r="19" ht="15" customHeight="1" s="22">
      <c r="A19" s="41" t="inlineStr">
        <is>
          <t>2026-05-21</t>
        </is>
      </c>
      <c r="B19" s="41" t="inlineStr">
        <is>
          <t>Koeda</t>
        </is>
      </c>
      <c r="C19" s="42" t="inlineStr">
        <is>
          <t>Fukuoka — Economic Activity, Prices, and Monetary Policy</t>
        </is>
      </c>
      <c r="D19" s="42" t="inlineStr">
        <is>
          <t>(PDF only) pro-normalization</t>
        </is>
      </c>
      <c r="E19" s="41" t="inlineStr">
        <is>
          <t>boj.or.jp/en/about/press/koen_2026/ko260521a.htm</t>
        </is>
      </c>
    </row>
    <row r="20" ht="23.85" customHeight="1" s="22">
      <c r="A20" s="41" t="inlineStr">
        <is>
          <t>2026-06-03</t>
        </is>
      </c>
      <c r="B20" s="41" t="inlineStr">
        <is>
          <t>Ueda</t>
        </is>
      </c>
      <c r="C20" s="42" t="inlineStr">
        <is>
          <t>Kisaragi-kai — Economic Activity and Prices, and Monetary Policy</t>
        </is>
      </c>
      <c r="D20" s="42" t="inlineStr">
        <is>
          <t>(PDF only) preceded Jun 16 hike to 1.00%</t>
        </is>
      </c>
      <c r="E20" s="41" t="inlineStr">
        <is>
          <t>boj.or.jp/en/about/press/koen_2026/ko260603a.htm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21" min="1" max="1"/>
    <col width="14" customWidth="1" style="21" min="2" max="2"/>
    <col width="70" customWidth="1" style="21" min="3" max="3"/>
  </cols>
  <sheetData>
    <row r="1" ht="16.15" customHeight="1" s="22">
      <c r="A1" s="40" t="inlineStr">
        <is>
          <t>BOJ policy rate and key decisions</t>
        </is>
      </c>
    </row>
    <row r="3" ht="15" customHeight="1" s="22">
      <c r="A3" s="25" t="inlineStr">
        <is>
          <t>Date</t>
        </is>
      </c>
      <c r="B3" s="25" t="inlineStr">
        <is>
          <t>Policy rate (%)</t>
        </is>
      </c>
      <c r="C3" s="25" t="inlineStr">
        <is>
          <t>Decision / event</t>
        </is>
      </c>
    </row>
    <row r="4" ht="15" customHeight="1" s="22">
      <c r="A4" s="27" t="inlineStr">
        <is>
          <t>2024-03-19</t>
        </is>
      </c>
      <c r="B4" s="31" t="n">
        <v>0.1</v>
      </c>
      <c r="C4" s="27" t="inlineStr">
        <is>
          <t>Exit from negative rates / YCC; conventional framework restored</t>
        </is>
      </c>
    </row>
    <row r="5" ht="15" customHeight="1" s="22">
      <c r="A5" s="27" t="inlineStr">
        <is>
          <t>2024-07-31</t>
        </is>
      </c>
      <c r="B5" s="31" t="n">
        <v>0.25</v>
      </c>
      <c r="C5" s="27" t="inlineStr">
        <is>
          <t>Hike; JGB purchase reduction plan announced</t>
        </is>
      </c>
    </row>
    <row r="6" ht="15" customHeight="1" s="22">
      <c r="A6" s="27" t="inlineStr">
        <is>
          <t>2025-01-24</t>
        </is>
      </c>
      <c r="B6" s="31" t="n">
        <v>0.5</v>
      </c>
      <c r="C6" s="27" t="inlineStr">
        <is>
          <t>Hike to highest since 2008</t>
        </is>
      </c>
    </row>
    <row r="7" ht="15" customHeight="1" s="22">
      <c r="A7" s="27" t="inlineStr">
        <is>
          <t>2025-04-30</t>
        </is>
      </c>
      <c r="B7" s="31" t="n">
        <v>0.5</v>
      </c>
      <c r="C7" s="27" t="inlineStr">
        <is>
          <t>Hold; Outlook slashed on US tariff shock (start of 11-month pause)</t>
        </is>
      </c>
    </row>
    <row r="8" ht="15" customHeight="1" s="22">
      <c r="A8" s="27" t="inlineStr">
        <is>
          <t>2025-09-19</t>
        </is>
      </c>
      <c r="B8" s="31" t="n">
        <v>0.5</v>
      </c>
      <c r="C8" s="27" t="inlineStr">
        <is>
          <t>Hold; ETF/J-REIT sales guideline decided</t>
        </is>
      </c>
    </row>
    <row r="9" ht="15" customHeight="1" s="22">
      <c r="A9" s="27" t="inlineStr">
        <is>
          <t>2025-12-19</t>
        </is>
      </c>
      <c r="B9" s="31" t="n">
        <v>0.75</v>
      </c>
      <c r="C9" s="27" t="inlineStr">
        <is>
          <t>Hike — first since January; 10y JGB above 2%</t>
        </is>
      </c>
    </row>
    <row r="10" ht="15" customHeight="1" s="22">
      <c r="A10" s="27" t="inlineStr">
        <is>
          <t>2026-01-23</t>
        </is>
      </c>
      <c r="B10" s="31" t="n">
        <v>0.75</v>
      </c>
      <c r="C10" s="27" t="inlineStr">
        <is>
          <t>Hold; Takata proposes 1.0% (hawkish dissent)</t>
        </is>
      </c>
    </row>
    <row r="11" ht="15" customHeight="1" s="22">
      <c r="A11" s="27" t="inlineStr">
        <is>
          <t>2026-04-28</t>
        </is>
      </c>
      <c r="B11" s="31" t="n">
        <v>0.75</v>
      </c>
      <c r="C11" s="27" t="inlineStr">
        <is>
          <t>Hold amid Iran-war worries; inflation forecast raised</t>
        </is>
      </c>
    </row>
    <row r="12" ht="15" customHeight="1" s="22">
      <c r="A12" s="27" t="inlineStr">
        <is>
          <t>2026-06-16</t>
        </is>
      </c>
      <c r="B12" s="31" t="n">
        <v>1</v>
      </c>
      <c r="C12" s="27" t="inlineStr">
        <is>
          <t>Hike to highest since Sep 1995; 7–1, Asada dissents (hold)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5" customWidth="1" style="22" min="1" max="1"/>
    <col width="62" customWidth="1" style="22" min="2" max="2"/>
    <col width="16" customWidth="1" style="22" min="3" max="3"/>
    <col width="13" customWidth="1" style="22" min="4" max="4"/>
    <col width="52" customWidth="1" style="22" min="5" max="5"/>
  </cols>
  <sheetData>
    <row r="1">
      <c r="A1" s="43" t="inlineStr">
        <is>
          <t>Summary of Opinions — inferred attribution</t>
        </is>
      </c>
    </row>
    <row r="2">
      <c r="A2" s="44" t="inlineStr">
        <is>
          <t>The BOJ publishes Summaries of Opinions unattributed. Attributions below are analytical inferences from matching each opinion's language to members' speech fingerprints — not official. Confidence: High / Moderate / Low.</t>
        </is>
      </c>
    </row>
    <row r="4">
      <c r="A4" s="45" t="inlineStr">
        <is>
          <t>MPM</t>
        </is>
      </c>
      <c r="B4" s="45" t="inlineStr">
        <is>
          <t>Opinion (abridged)</t>
        </is>
      </c>
      <c r="C4" s="45" t="inlineStr">
        <is>
          <t>Likely speaker</t>
        </is>
      </c>
      <c r="D4" s="45" t="inlineStr">
        <is>
          <t>Confidence</t>
        </is>
      </c>
      <c r="E4" s="45" t="inlineStr">
        <is>
          <t>Basis</t>
        </is>
      </c>
    </row>
    <row r="5" ht="34" customHeight="1" s="22">
      <c r="A5" s="46" t="inlineStr">
        <is>
          <t>Apr 27-28, 2026</t>
        </is>
      </c>
      <c r="B5" s="46" t="inlineStr">
        <is>
          <t>Still some way from neutral; keep hiking 'at intervals of a few months'; accelerate without hesitation if upside price risks grow</t>
        </is>
      </c>
      <c r="C5" s="46" t="inlineStr">
        <is>
          <t>Tamura</t>
        </is>
      </c>
      <c r="D5" s="46" t="inlineStr">
        <is>
          <t>High</t>
        </is>
      </c>
      <c r="E5" s="46" t="inlineStr">
        <is>
          <t>Near-verbatim match to his reported 'intervals of a few months' line and neutral-rate framing</t>
        </is>
      </c>
    </row>
    <row r="6" ht="34" customHeight="1" s="22">
      <c r="A6" s="46" t="inlineStr">
        <is>
          <t>Apr 27-28, 2026</t>
        </is>
      </c>
      <c r="B6" s="46" t="inlineStr">
        <is>
          <t>Adjust accommodation 'from the perspective of safeguarding people's livelihoods and peace of mind'</t>
        </is>
      </c>
      <c r="C6" s="46" t="inlineStr">
        <is>
          <t>Tamura</t>
        </is>
      </c>
      <c r="D6" s="46" t="inlineStr">
        <is>
          <t>Moderate</t>
        </is>
      </c>
      <c r="E6" s="46" t="inlineStr">
        <is>
          <t>Cost-of-living framing mirrors Feb 2026 Kanagawa conclusion</t>
        </is>
      </c>
    </row>
    <row r="7" ht="34" customHeight="1" s="22">
      <c r="A7" s="46" t="inlineStr">
        <is>
          <t>Apr 27-28, 2026</t>
        </is>
      </c>
      <c r="B7" s="46" t="inlineStr">
        <is>
          <t>Hike prioritizing inflation containment would harm employment and production; maintain current policy</t>
        </is>
      </c>
      <c r="C7" s="46" t="inlineStr">
        <is>
          <t>Asada</t>
        </is>
      </c>
      <c r="D7" s="46" t="inlineStr">
        <is>
          <t>High</t>
        </is>
      </c>
      <c r="E7" s="46" t="inlineStr">
        <is>
          <t>Identical rationale to his June 2026 dissent (downside risks to production/employment)</t>
        </is>
      </c>
    </row>
    <row r="8" ht="34" customHeight="1" s="22">
      <c r="A8" s="46" t="inlineStr">
        <is>
          <t>Apr 27-28, 2026</t>
        </is>
      </c>
      <c r="B8" s="46" t="inlineStr">
        <is>
          <t>'All available policy measures mobilized to overcome deflation' — inertia now raises oil-driven inflation risk</t>
        </is>
      </c>
      <c r="C8" s="46" t="inlineStr">
        <is>
          <t>Asada</t>
        </is>
      </c>
      <c r="D8" s="46" t="inlineStr">
        <is>
          <t>Moderate-High</t>
        </is>
      </c>
      <c r="E8" s="46" t="inlineStr">
        <is>
          <t>Reflationist framing unique among current members</t>
        </is>
      </c>
    </row>
    <row r="9" ht="34" customHeight="1" s="22">
      <c r="A9" s="46" t="inlineStr">
        <is>
          <t>Apr 27-28, 2026</t>
        </is>
      </c>
      <c r="B9" s="46" t="inlineStr">
        <is>
          <t>Barring evident signs of slowdown, the Bank should raise the policy rate soon</t>
        </is>
      </c>
      <c r="C9" s="46" t="inlineStr">
        <is>
          <t>Nakagawa</t>
        </is>
      </c>
      <c r="D9" s="46" t="inlineStr">
        <is>
          <t>Moderate</t>
        </is>
      </c>
      <c r="E9" s="46" t="inlineStr">
        <is>
          <t>Fits press reports she called for a hike in April 2026</t>
        </is>
      </c>
    </row>
    <row r="10" ht="34" customHeight="1" s="22">
      <c r="A10" s="46" t="inlineStr">
        <is>
          <t>Apr 27-28, 2026</t>
        </is>
      </c>
      <c r="B10" s="46" t="inlineStr">
        <is>
          <t>Quite possible to hike from next MPM even if Middle East stays unclear</t>
        </is>
      </c>
      <c r="C10" s="46" t="inlineStr">
        <is>
          <t>Nakagawa / Koeda</t>
        </is>
      </c>
      <c r="D10" s="46" t="inlineStr">
        <is>
          <t>Low-Moderate</t>
        </is>
      </c>
      <c r="E10" s="46" t="inlineStr">
        <is>
          <t>Hawkish next-meeting signal; June hike followed</t>
        </is>
      </c>
    </row>
    <row r="11" ht="34" customHeight="1" s="22">
      <c r="A11" s="46" t="inlineStr">
        <is>
          <t>Apr 27-28, 2026</t>
        </is>
      </c>
      <c r="B11" s="46" t="inlineStr">
        <is>
          <t>Japan's real policy rate 'by far the lowest globally'; keep adjusting the negative real rate</t>
        </is>
      </c>
      <c r="C11" s="46" t="inlineStr">
        <is>
          <t>Koeda</t>
        </is>
      </c>
      <c r="D11" s="46" t="inlineStr">
        <is>
          <t>Moderate-High</t>
        </is>
      </c>
      <c r="E11" s="46" t="inlineStr">
        <is>
          <t>Her signature international real-rate comparison (Niigata, Nov 2025)</t>
        </is>
      </c>
    </row>
    <row r="12" ht="34" customHeight="1" s="22">
      <c r="A12" s="46" t="inlineStr">
        <is>
          <t>Apr 27-28, 2026</t>
        </is>
      </c>
      <c r="B12" s="46" t="inlineStr">
        <is>
          <t>Proceed with normalization; raise when real rate declines on price rises</t>
        </is>
      </c>
      <c r="C12" s="46" t="inlineStr">
        <is>
          <t>Koeda / Masu</t>
        </is>
      </c>
      <c r="D12" s="46" t="inlineStr">
        <is>
          <t>Low</t>
        </is>
      </c>
      <c r="E12" s="46" t="inlineStr">
        <is>
          <t>Normalization phrasing (Masu) vs real-rate mechanics (Koeda)</t>
        </is>
      </c>
    </row>
    <row r="13" ht="34" customHeight="1" s="22">
      <c r="A13" s="46" t="inlineStr">
        <is>
          <t>Apr 27-28, 2026</t>
        </is>
      </c>
      <c r="B13" s="46" t="inlineStr">
        <is>
          <t>Bank's mission as 'guardian of price stability'</t>
        </is>
      </c>
      <c r="C13" s="46" t="inlineStr">
        <is>
          <t>Takata</t>
        </is>
      </c>
      <c r="D13" s="46" t="inlineStr">
        <is>
          <t>Moderate</t>
        </is>
      </c>
      <c r="E13" s="46" t="inlineStr">
        <is>
          <t>Vivid-metaphor style; fits push to declare target nearly met</t>
        </is>
      </c>
    </row>
    <row r="14" ht="34" customHeight="1" s="22">
      <c r="A14" s="46" t="inlineStr">
        <is>
          <t>Apr 27-28, 2026</t>
        </is>
      </c>
      <c r="B14" s="46" t="inlineStr">
        <is>
          <t>Revise guideline wording 'in accordance with improvement in economic activity and prices'</t>
        </is>
      </c>
      <c r="C14" s="46" t="inlineStr">
        <is>
          <t>Takata / Himino</t>
        </is>
      </c>
      <c r="D14" s="46" t="inlineStr">
        <is>
          <t>Low-Moderate</t>
        </is>
      </c>
      <c r="E14" s="46" t="inlineStr">
        <is>
          <t>Framework revision to allow hikes on price risk alone</t>
        </is>
      </c>
    </row>
    <row r="15" ht="34" customHeight="1" s="22">
      <c r="A15" s="46" t="inlineStr">
        <is>
          <t>Apr 27-28, 2026</t>
        </is>
      </c>
      <c r="B15" s="46" t="inlineStr">
        <is>
          <t>Scenario tree: resume prior pace / reach neutral earlier / hold if supply chains break</t>
        </is>
      </c>
      <c r="C15" s="46" t="inlineStr">
        <is>
          <t>Himino</t>
        </is>
      </c>
      <c r="D15" s="46" t="inlineStr">
        <is>
          <t>Moderate</t>
        </is>
      </c>
      <c r="E15" s="46" t="inlineStr">
        <is>
          <t>Matches scenario-arithmetic style (Wakayama, Mar 2026)</t>
        </is>
      </c>
    </row>
    <row r="16" ht="34" customHeight="1" s="22">
      <c r="A16" s="46" t="inlineStr">
        <is>
          <t>Apr 27-28, 2026</t>
        </is>
      </c>
      <c r="B16" s="46" t="inlineStr">
        <is>
          <t>Not desirable to be seen as always pre-signaling hikes; rethink communication</t>
        </is>
      </c>
      <c r="C16" s="46" t="inlineStr">
        <is>
          <t>Uchida</t>
        </is>
      </c>
      <c r="D16" s="46" t="inlineStr">
        <is>
          <t>Moderate</t>
        </is>
      </c>
      <c r="E16" s="46" t="inlineStr">
        <is>
          <t>Communication strategy is his institutional domain</t>
        </is>
      </c>
    </row>
    <row r="17" ht="34" customHeight="1" s="22">
      <c r="A17" s="46" t="inlineStr">
        <is>
          <t>Apr 27-28, 2026</t>
        </is>
      </c>
      <c r="B17" s="46" t="inlineStr">
        <is>
          <t>Wait-and-see at this meeting / adaptive expectations, March CPI below 2% supports hold</t>
        </is>
      </c>
      <c r="C17" s="46" t="inlineStr">
        <is>
          <t>Ueda / Masu</t>
        </is>
      </c>
      <c r="D17" s="46" t="inlineStr">
        <is>
          <t>Low</t>
        </is>
      </c>
      <c r="E17" s="46" t="inlineStr">
        <is>
          <t>Consensus-hold language; Masu tracked CPI dipping below 2% in H1 2026</t>
        </is>
      </c>
    </row>
    <row r="19">
      <c r="A19" s="47" t="inlineStr">
        <is>
          <t>Source: boj.or.jp/en/mopo/mpmsche_minu/opinion_2026/opi260428.pdf (released May 12,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2026-07-04T01:06:59Z</dcterms:created>
  <dcterms:modified xmlns:dcterms="http://purl.org/dc/terms/" xmlns:xsi="http://www.w3.org/2001/XMLSchema-instance" xsi:type="dcterms:W3CDTF">2026-07-04T01:19:37Z</dcterms:modified>
  <cp:revision>1</cp:revision>
</cp:coreProperties>
</file>